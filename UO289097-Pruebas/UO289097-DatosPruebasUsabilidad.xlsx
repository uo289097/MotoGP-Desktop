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g\Desktop\Curso 2025-26\1Cuatri\SEW\Practicas\MotoGP-Desktop\"/>
    </mc:Choice>
  </mc:AlternateContent>
  <xr:revisionPtr revIDLastSave="0" documentId="13_ncr:1_{055D9252-28B0-4C71-9F3B-DBED501FA648}" xr6:coauthVersionLast="47" xr6:coauthVersionMax="47" xr10:uidLastSave="{00000000-0000-0000-0000-000000000000}"/>
  <bookViews>
    <workbookView xWindow="-21720" yWindow="-825" windowWidth="21840" windowHeight="13020" xr2:uid="{95D7C88B-80C9-4383-9896-D8B1D1799C22}"/>
  </bookViews>
  <sheets>
    <sheet name="exportUsabilidad_20251221_12513" sheetId="2" r:id="rId1"/>
  </sheets>
  <definedNames>
    <definedName name="DatosExternos_1" localSheetId="0" hidden="1">exportUsabilidad_20251221_12513!$A$1:$M$8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F18" i="2"/>
  <c r="F17" i="2"/>
  <c r="F16" i="2"/>
  <c r="F15" i="2"/>
  <c r="E18" i="2"/>
  <c r="E17" i="2"/>
  <c r="E16" i="2"/>
  <c r="E15" i="2"/>
  <c r="G34" i="2"/>
  <c r="F34" i="2"/>
  <c r="E34" i="2"/>
  <c r="G32" i="2"/>
  <c r="F32" i="2"/>
  <c r="E32" i="2"/>
  <c r="G11" i="2"/>
  <c r="F11" i="2"/>
  <c r="E11" i="2"/>
  <c r="G28" i="2"/>
  <c r="G27" i="2"/>
  <c r="G26" i="2"/>
  <c r="G25" i="2"/>
  <c r="F28" i="2"/>
  <c r="F27" i="2"/>
  <c r="F26" i="2"/>
  <c r="F25" i="2"/>
  <c r="E28" i="2"/>
  <c r="E27" i="2"/>
  <c r="E26" i="2"/>
  <c r="E25" i="2"/>
  <c r="F22" i="2"/>
  <c r="G22" i="2"/>
  <c r="G21" i="2"/>
  <c r="F21" i="2"/>
  <c r="E22" i="2"/>
  <c r="E21" i="2"/>
  <c r="G17" i="2"/>
  <c r="G16" i="2"/>
  <c r="G15" i="2"/>
  <c r="G14" i="2"/>
  <c r="F14" i="2"/>
  <c r="E14" i="2"/>
  <c r="G30" i="2"/>
  <c r="F30" i="2"/>
  <c r="E30" i="2"/>
  <c r="D22" i="2"/>
  <c r="D21" i="2"/>
  <c r="D15" i="2"/>
  <c r="D14" i="2"/>
  <c r="D17" i="2"/>
  <c r="D18" i="2"/>
  <c r="D28" i="2"/>
  <c r="D27" i="2"/>
  <c r="D26" i="2"/>
  <c r="D25" i="2"/>
  <c r="D32" i="2"/>
  <c r="D16" i="2"/>
  <c r="D34" i="2"/>
  <c r="D30" i="2"/>
  <c r="D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32CC10-DF16-4A8C-8479-5E10556124D1}" keepAlive="1" name="Consulta - exportUsabilidad_20251221_125135" description="Conexión a la consulta 'exportUsabilidad_20251221_125135' en el libro." type="5" refreshedVersion="8" background="1" saveData="1">
    <dbPr connection="Provider=Microsoft.Mashup.OleDb.1;Data Source=$Workbook$;Location=exportUsabilidad_20251221_125135;Extended Properties=&quot;&quot;" command="SELECT * FROM [exportUsabilidad_20251221_125135]"/>
  </connection>
</connections>
</file>

<file path=xl/sharedStrings.xml><?xml version="1.0" encoding="utf-8"?>
<sst xmlns="http://schemas.openxmlformats.org/spreadsheetml/2006/main" count="77" uniqueCount="59">
  <si>
    <t>id</t>
  </si>
  <si>
    <t>profesion</t>
  </si>
  <si>
    <t>edad</t>
  </si>
  <si>
    <t>genero</t>
  </si>
  <si>
    <t>pericia_informatica</t>
  </si>
  <si>
    <t>dispositivo</t>
  </si>
  <si>
    <t>tiempo</t>
  </si>
  <si>
    <t>completada</t>
  </si>
  <si>
    <t>comentarios</t>
  </si>
  <si>
    <t>propuestas</t>
  </si>
  <si>
    <t>valoracion</t>
  </si>
  <si>
    <t>nota</t>
  </si>
  <si>
    <t>observaciones</t>
  </si>
  <si>
    <t>Estudiante</t>
  </si>
  <si>
    <t>masculino</t>
  </si>
  <si>
    <t>tableta</t>
  </si>
  <si>
    <t>La información adicional del piloto estaría mejor más arriba en la página.</t>
  </si>
  <si>
    <t>Reestructurar el orden de algunas páginas para hacerlo más intuitivo. Mejorar la presentación con CSS.</t>
  </si>
  <si>
    <t>Lo implementado con JavaScript no funcionaba en la tablet</t>
  </si>
  <si>
    <t>Fontanero</t>
  </si>
  <si>
    <t>ordenador</t>
  </si>
  <si>
    <t>No supe cómo ver el número de vueltas de la carrera.</t>
  </si>
  <si>
    <t/>
  </si>
  <si>
    <t>No supo ver cuántas vueltas tenía la carrera ya que no está bien redactado en la ayuda.</t>
  </si>
  <si>
    <t>Profesor</t>
  </si>
  <si>
    <t>femenino</t>
  </si>
  <si>
    <t>movil</t>
  </si>
  <si>
    <t>Información desorganizada</t>
  </si>
  <si>
    <t>8</t>
  </si>
  <si>
    <t>Jubilado (Mecánico)</t>
  </si>
  <si>
    <t>La ayuda no ayuda.</t>
  </si>
  <si>
    <t>La ayuda.</t>
  </si>
  <si>
    <t>No supo cargar el archivo del circuito.</t>
  </si>
  <si>
    <t>Matemático</t>
  </si>
  <si>
    <t>Electricista</t>
  </si>
  <si>
    <t>Administrativa</t>
  </si>
  <si>
    <t>El aspecto de la tabla de los resultados</t>
  </si>
  <si>
    <t>Media edad</t>
  </si>
  <si>
    <t>Tiempo medio</t>
  </si>
  <si>
    <t>Puntuación media</t>
  </si>
  <si>
    <t>Frecuencia edad</t>
  </si>
  <si>
    <t>0-20</t>
  </si>
  <si>
    <t>20-30</t>
  </si>
  <si>
    <t>30-40</t>
  </si>
  <si>
    <t>40-65</t>
  </si>
  <si>
    <t>&gt;65</t>
  </si>
  <si>
    <t>Frecuencia género</t>
  </si>
  <si>
    <t>masc</t>
  </si>
  <si>
    <t>fem</t>
  </si>
  <si>
    <t>Frecuencia pericia</t>
  </si>
  <si>
    <t>0-3</t>
  </si>
  <si>
    <t>5-7</t>
  </si>
  <si>
    <t>7-10</t>
  </si>
  <si>
    <t>3-5</t>
  </si>
  <si>
    <t>Usuarios completado</t>
  </si>
  <si>
    <t>Total</t>
  </si>
  <si>
    <t>Tanda 1</t>
  </si>
  <si>
    <t>Tanda 2</t>
  </si>
  <si>
    <t>Tanda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</si>
</sst>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Distribución usuarios</a:t>
            </a:r>
            <a:r>
              <a:rPr lang="es-ES" baseline="0"/>
              <a:t> por género (Total)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5D-4C83-826A-9307395304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5D-4C83-826A-930739530481}"/>
              </c:ext>
            </c:extLst>
          </c:dPt>
          <c:cat>
            <c:strRef>
              <c:f>exportUsabilidad_20251221_12513!$C$21:$C$22</c:f>
              <c:strCache>
                <c:ptCount val="2"/>
                <c:pt idx="0">
                  <c:v>masc</c:v>
                </c:pt>
                <c:pt idx="1">
                  <c:v>fem</c:v>
                </c:pt>
              </c:strCache>
            </c:strRef>
          </c:cat>
          <c:val>
            <c:numRef>
              <c:f>exportUsabilidad_20251221_12513!$D$21:$D$22</c:f>
              <c:numCache>
                <c:formatCode>0.00%</c:formatCode>
                <c:ptCount val="2"/>
                <c:pt idx="0">
                  <c:v>0.7142857142857143</c:v>
                </c:pt>
                <c:pt idx="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A-4075-B553-9818E670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Distribución</a:t>
            </a:r>
            <a:r>
              <a:rPr lang="es-ES" baseline="0"/>
              <a:t> usuarios por pericia (Total)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exportUsabilidad_20251221_12513!$C$25:$C$28</c:f>
              <c:strCache>
                <c:ptCount val="4"/>
                <c:pt idx="0">
                  <c:v>0-3</c:v>
                </c:pt>
                <c:pt idx="1">
                  <c:v>3-5</c:v>
                </c:pt>
                <c:pt idx="2">
                  <c:v>5-7</c:v>
                </c:pt>
                <c:pt idx="3">
                  <c:v>7-10</c:v>
                </c:pt>
              </c:strCache>
            </c:strRef>
          </c:cat>
          <c:val>
            <c:numRef>
              <c:f>exportUsabilidad_20251221_12513!$D$25:$D$28</c:f>
              <c:numCache>
                <c:formatCode>0.00%</c:formatCode>
                <c:ptCount val="4"/>
                <c:pt idx="0">
                  <c:v>0.14285714285714285</c:v>
                </c:pt>
                <c:pt idx="1">
                  <c:v>0.14285714285714285</c:v>
                </c:pt>
                <c:pt idx="2">
                  <c:v>0.2857142857142857</c:v>
                </c:pt>
                <c:pt idx="3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B-462E-908E-26996AB14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7267768"/>
        <c:axId val="1227269568"/>
        <c:axId val="0"/>
      </c:bar3DChart>
      <c:catAx>
        <c:axId val="122726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7269568"/>
        <c:crosses val="autoZero"/>
        <c:auto val="1"/>
        <c:lblAlgn val="ctr"/>
        <c:lblOffset val="100"/>
        <c:noMultiLvlLbl val="0"/>
      </c:catAx>
      <c:valAx>
        <c:axId val="12272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7267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edad (Total)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exportUsabilidad_20251221_12513!$C$14:$C$18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&gt;65</c:v>
                </c:pt>
              </c:strCache>
            </c:strRef>
          </c:cat>
          <c:val>
            <c:numRef>
              <c:f>exportUsabilidad_20251221_12513!$D$14:$D$18</c:f>
              <c:numCache>
                <c:formatCode>0.00%</c:formatCode>
                <c:ptCount val="5"/>
                <c:pt idx="0">
                  <c:v>0</c:v>
                </c:pt>
                <c:pt idx="1">
                  <c:v>0.2857142857142857</c:v>
                </c:pt>
                <c:pt idx="2">
                  <c:v>0</c:v>
                </c:pt>
                <c:pt idx="3">
                  <c:v>0.5714285714285714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F-4B57-8A64-54099CD29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3968976"/>
        <c:axId val="1283967896"/>
        <c:axId val="0"/>
      </c:bar3DChart>
      <c:catAx>
        <c:axId val="128396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3967896"/>
        <c:crosses val="autoZero"/>
        <c:auto val="1"/>
        <c:lblAlgn val="ctr"/>
        <c:lblOffset val="100"/>
        <c:noMultiLvlLbl val="0"/>
      </c:catAx>
      <c:valAx>
        <c:axId val="128396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396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Evolución</a:t>
            </a:r>
            <a:r>
              <a:rPr lang="es-ES" baseline="0"/>
              <a:t> tiempos para completar el test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Tanda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(exportUsabilidad_20251221_12513!$G$2,exportUsabilidad_20251221_12513!$G$2,exportUsabilidad_20251221_12513!$G$2)</c:f>
              <c:numCache>
                <c:formatCode>General</c:formatCode>
                <c:ptCount val="3"/>
                <c:pt idx="0">
                  <c:v>175</c:v>
                </c:pt>
                <c:pt idx="1">
                  <c:v>175</c:v>
                </c:pt>
                <c:pt idx="2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6A-4325-90EB-9AE6EC9AFF49}"/>
            </c:ext>
          </c:extLst>
        </c:ser>
        <c:ser>
          <c:idx val="1"/>
          <c:order val="1"/>
          <c:tx>
            <c:v>Tanda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exportUsabilidad_20251221_12513!$G$3:$G$5</c:f>
              <c:numCache>
                <c:formatCode>General</c:formatCode>
                <c:ptCount val="3"/>
                <c:pt idx="0">
                  <c:v>524</c:v>
                </c:pt>
                <c:pt idx="1">
                  <c:v>180</c:v>
                </c:pt>
                <c:pt idx="2">
                  <c:v>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6A-4325-90EB-9AE6EC9AFF49}"/>
            </c:ext>
          </c:extLst>
        </c:ser>
        <c:ser>
          <c:idx val="2"/>
          <c:order val="2"/>
          <c:tx>
            <c:v>Tanda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exportUsabilidad_20251221_12513!$G$6:$G$8</c:f>
              <c:numCache>
                <c:formatCode>General</c:formatCode>
                <c:ptCount val="3"/>
                <c:pt idx="0">
                  <c:v>153</c:v>
                </c:pt>
                <c:pt idx="1">
                  <c:v>204</c:v>
                </c:pt>
                <c:pt idx="2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6A-4325-90EB-9AE6EC9AFF49}"/>
            </c:ext>
          </c:extLst>
        </c:ser>
        <c:ser>
          <c:idx val="3"/>
          <c:order val="3"/>
          <c:tx>
            <c:v>Media Tanda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(exportUsabilidad_20251221_12513!$E$30,exportUsabilidad_20251221_12513!$F$30,exportUsabilidad_20251221_12513!$G$30)</c:f>
              <c:numCache>
                <c:formatCode>0.00</c:formatCode>
                <c:ptCount val="3"/>
                <c:pt idx="0" formatCode="General">
                  <c:v>175</c:v>
                </c:pt>
                <c:pt idx="1">
                  <c:v>480.33333333333331</c:v>
                </c:pt>
                <c:pt idx="2">
                  <c:v>171.33333333333334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6A-4325-90EB-9AE6EC9AFF49}"/>
            </c:ext>
          </c:extLst>
        </c:ser>
        <c:ser>
          <c:idx val="4"/>
          <c:order val="4"/>
          <c:tx>
            <c:v>Tiempo medio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(exportUsabilidad_20251221_12513!$D$30,exportUsabilidad_20251221_12513!$D$30,exportUsabilidad_20251221_12513!$D$30)</c:f>
              <c:numCache>
                <c:formatCode>0.00</c:formatCode>
                <c:ptCount val="3"/>
                <c:pt idx="0">
                  <c:v>304.28571428571428</c:v>
                </c:pt>
                <c:pt idx="1">
                  <c:v>304.28571428571428</c:v>
                </c:pt>
                <c:pt idx="2">
                  <c:v>304.28571428571428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6A-4325-90EB-9AE6EC9AF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840992"/>
        <c:axId val="1213841712"/>
      </c:lineChart>
      <c:catAx>
        <c:axId val="121384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841712"/>
        <c:crosses val="autoZero"/>
        <c:auto val="1"/>
        <c:lblAlgn val="ctr"/>
        <c:lblOffset val="100"/>
        <c:noMultiLvlLbl val="0"/>
      </c:catAx>
      <c:valAx>
        <c:axId val="121384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38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edad (Tanda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exportUsabilidad_20251221_12513!$C$14:$C$18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&gt;65</c:v>
                </c:pt>
              </c:strCache>
            </c:strRef>
          </c:cat>
          <c:val>
            <c:numRef>
              <c:f>exportUsabilidad_20251221_12513!$E$14:$E$18</c:f>
              <c:numCache>
                <c:formatCode>0.00%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5-4719-A6A2-4C91C86F6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0036464"/>
        <c:axId val="1700038624"/>
        <c:axId val="0"/>
      </c:bar3DChart>
      <c:catAx>
        <c:axId val="170003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0038624"/>
        <c:crosses val="autoZero"/>
        <c:auto val="1"/>
        <c:lblAlgn val="ctr"/>
        <c:lblOffset val="100"/>
        <c:noMultiLvlLbl val="0"/>
      </c:catAx>
      <c:valAx>
        <c:axId val="17000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003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edad (Tanda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exportUsabilidad_20251221_12513!$C$14:$C$18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&gt;65</c:v>
                </c:pt>
              </c:strCache>
            </c:strRef>
          </c:cat>
          <c:val>
            <c:numRef>
              <c:f>exportUsabilidad_20251221_12513!$F$14:$F$18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0.66666666666666663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2-4205-BC9D-8FF438577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3730720"/>
        <c:axId val="1053732520"/>
        <c:axId val="0"/>
      </c:bar3DChart>
      <c:catAx>
        <c:axId val="105373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3732520"/>
        <c:crosses val="autoZero"/>
        <c:auto val="1"/>
        <c:lblAlgn val="ctr"/>
        <c:lblOffset val="100"/>
        <c:noMultiLvlLbl val="0"/>
      </c:catAx>
      <c:valAx>
        <c:axId val="105373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373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edad (Tanda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exportUsabilidad_20251221_12513!$C$14:$C$18</c:f>
              <c:strCache>
                <c:ptCount val="5"/>
                <c:pt idx="0">
                  <c:v>0-20</c:v>
                </c:pt>
                <c:pt idx="1">
                  <c:v>20-30</c:v>
                </c:pt>
                <c:pt idx="2">
                  <c:v>30-40</c:v>
                </c:pt>
                <c:pt idx="3">
                  <c:v>40-65</c:v>
                </c:pt>
                <c:pt idx="4">
                  <c:v>&gt;65</c:v>
                </c:pt>
              </c:strCache>
            </c:strRef>
          </c:cat>
          <c:val>
            <c:numRef>
              <c:f>exportUsabilidad_20251221_12513!$G$14:$G$18</c:f>
              <c:numCache>
                <c:formatCode>0.00%</c:formatCode>
                <c:ptCount val="5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  <c:pt idx="3">
                  <c:v>0.66666666666666663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F-4FDA-85CD-14071B575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8379736"/>
        <c:axId val="1228385856"/>
        <c:axId val="0"/>
      </c:bar3DChart>
      <c:catAx>
        <c:axId val="122837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8385856"/>
        <c:crosses val="autoZero"/>
        <c:auto val="1"/>
        <c:lblAlgn val="ctr"/>
        <c:lblOffset val="100"/>
        <c:noMultiLvlLbl val="0"/>
      </c:catAx>
      <c:valAx>
        <c:axId val="12283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8379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género (Tanda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9-4D57-B487-0EE7C0ECFD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9-4D57-B487-0EE7C0ECFD71}"/>
              </c:ext>
            </c:extLst>
          </c:dPt>
          <c:cat>
            <c:strRef>
              <c:f>exportUsabilidad_20251221_12513!$C$21:$C$22</c:f>
              <c:strCache>
                <c:ptCount val="2"/>
                <c:pt idx="0">
                  <c:v>masc</c:v>
                </c:pt>
                <c:pt idx="1">
                  <c:v>fem</c:v>
                </c:pt>
              </c:strCache>
            </c:strRef>
          </c:cat>
          <c:val>
            <c:numRef>
              <c:f>exportUsabilidad_20251221_12513!$E$21:$E$22</c:f>
              <c:numCache>
                <c:formatCode>0.00%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8-4F98-9EBE-DC3985E42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género (Tanda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95-47F9-862B-753108C5E3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95-47F9-862B-753108C5E3F9}"/>
              </c:ext>
            </c:extLst>
          </c:dPt>
          <c:cat>
            <c:strRef>
              <c:f>exportUsabilidad_20251221_12513!$C$21:$C$22</c:f>
              <c:strCache>
                <c:ptCount val="2"/>
                <c:pt idx="0">
                  <c:v>masc</c:v>
                </c:pt>
                <c:pt idx="1">
                  <c:v>fem</c:v>
                </c:pt>
              </c:strCache>
            </c:strRef>
          </c:cat>
          <c:val>
            <c:numRef>
              <c:f>exportUsabilidad_20251221_12513!$F$21:$F$22</c:f>
              <c:numCache>
                <c:formatCode>0.00%</c:formatCode>
                <c:ptCount val="2"/>
                <c:pt idx="0">
                  <c:v>0.66666666666666663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1-4637-872E-44D3C6496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género (Tanda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FB-42BE-981D-BDB6961275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FB-42BE-981D-BDB6961275E9}"/>
              </c:ext>
            </c:extLst>
          </c:dPt>
          <c:cat>
            <c:strRef>
              <c:f>exportUsabilidad_20251221_12513!$C$21:$C$22</c:f>
              <c:strCache>
                <c:ptCount val="2"/>
                <c:pt idx="0">
                  <c:v>masc</c:v>
                </c:pt>
                <c:pt idx="1">
                  <c:v>fem</c:v>
                </c:pt>
              </c:strCache>
            </c:strRef>
          </c:cat>
          <c:val>
            <c:numRef>
              <c:f>exportUsabilidad_20251221_12513!$G$21:$G$22</c:f>
              <c:numCache>
                <c:formatCode>0.00%</c:formatCode>
                <c:ptCount val="2"/>
                <c:pt idx="0">
                  <c:v>0.66666666666666663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D-4903-9777-D22F2FCB1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Distribución test completados por tanda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exportUsabilidad_20251221_12513!$D$10:$G$10</c:f>
              <c:strCache>
                <c:ptCount val="4"/>
                <c:pt idx="0">
                  <c:v>Total</c:v>
                </c:pt>
                <c:pt idx="1">
                  <c:v>Tanda 1</c:v>
                </c:pt>
                <c:pt idx="2">
                  <c:v>Tanda 2</c:v>
                </c:pt>
                <c:pt idx="3">
                  <c:v>Tanda 3</c:v>
                </c:pt>
              </c:strCache>
            </c:strRef>
          </c:cat>
          <c:val>
            <c:numRef>
              <c:f>exportUsabilidad_20251221_12513!$D$32:$G$32</c:f>
              <c:numCache>
                <c:formatCode>0%</c:formatCode>
                <c:ptCount val="4"/>
                <c:pt idx="0">
                  <c:v>0.5714285714285714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8-4BF2-9E00-903903DCE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760032"/>
        <c:axId val="1047617696"/>
        <c:axId val="0"/>
      </c:bar3DChart>
      <c:catAx>
        <c:axId val="3777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7617696"/>
        <c:crosses val="autoZero"/>
        <c:auto val="1"/>
        <c:lblAlgn val="ctr"/>
        <c:lblOffset val="100"/>
        <c:noMultiLvlLbl val="0"/>
      </c:catAx>
      <c:valAx>
        <c:axId val="10476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77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pericia (Tanda 1)</a:t>
            </a:r>
            <a:endParaRPr lang="es-E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exportUsabilidad_20251221_12513!$C$25:$C$28</c:f>
              <c:strCache>
                <c:ptCount val="4"/>
                <c:pt idx="0">
                  <c:v>0-3</c:v>
                </c:pt>
                <c:pt idx="1">
                  <c:v>3-5</c:v>
                </c:pt>
                <c:pt idx="2">
                  <c:v>5-7</c:v>
                </c:pt>
                <c:pt idx="3">
                  <c:v>7-10</c:v>
                </c:pt>
              </c:strCache>
            </c:strRef>
          </c:cat>
          <c:val>
            <c:numRef>
              <c:f>exportUsabilidad_20251221_12513!$E$25:$E$28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A-406C-8249-C04AF4E1A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22050344"/>
        <c:axId val="1222051424"/>
        <c:axId val="0"/>
      </c:bar3DChart>
      <c:catAx>
        <c:axId val="122205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2051424"/>
        <c:crosses val="autoZero"/>
        <c:auto val="1"/>
        <c:lblAlgn val="ctr"/>
        <c:lblOffset val="100"/>
        <c:noMultiLvlLbl val="0"/>
      </c:catAx>
      <c:valAx>
        <c:axId val="12220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205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pericia (Tanda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exportUsabilidad_20251221_12513!$C$25:$C$28</c:f>
              <c:strCache>
                <c:ptCount val="4"/>
                <c:pt idx="0">
                  <c:v>0-3</c:v>
                </c:pt>
                <c:pt idx="1">
                  <c:v>3-5</c:v>
                </c:pt>
                <c:pt idx="2">
                  <c:v>5-7</c:v>
                </c:pt>
                <c:pt idx="3">
                  <c:v>7-10</c:v>
                </c:pt>
              </c:strCache>
            </c:strRef>
          </c:cat>
          <c:val>
            <c:numRef>
              <c:f>exportUsabilidad_20251221_12513!$F$25:$F$28</c:f>
              <c:numCache>
                <c:formatCode>0.00%</c:formatCode>
                <c:ptCount val="4"/>
                <c:pt idx="0">
                  <c:v>0.33333333333333331</c:v>
                </c:pt>
                <c:pt idx="1">
                  <c:v>0.33333333333333331</c:v>
                </c:pt>
                <c:pt idx="2">
                  <c:v>0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7-42EB-B4E4-7E8AF936A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7759672"/>
        <c:axId val="377760752"/>
        <c:axId val="0"/>
      </c:bar3DChart>
      <c:catAx>
        <c:axId val="377759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7760752"/>
        <c:crosses val="autoZero"/>
        <c:auto val="1"/>
        <c:lblAlgn val="ctr"/>
        <c:lblOffset val="100"/>
        <c:noMultiLvlLbl val="0"/>
      </c:catAx>
      <c:valAx>
        <c:axId val="3777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775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Distribución usuarios por pericia (Tanda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exportUsabilidad_20251221_12513!$C$25:$C$28</c:f>
              <c:strCache>
                <c:ptCount val="4"/>
                <c:pt idx="0">
                  <c:v>0-3</c:v>
                </c:pt>
                <c:pt idx="1">
                  <c:v>3-5</c:v>
                </c:pt>
                <c:pt idx="2">
                  <c:v>5-7</c:v>
                </c:pt>
                <c:pt idx="3">
                  <c:v>7-10</c:v>
                </c:pt>
              </c:strCache>
            </c:strRef>
          </c:cat>
          <c:val>
            <c:numRef>
              <c:f>exportUsabilidad_20251221_12513!$G$25:$G$28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0.66666666666666663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0-498B-9127-A0F3F188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6012880"/>
        <c:axId val="1276008920"/>
        <c:axId val="0"/>
      </c:bar3DChart>
      <c:catAx>
        <c:axId val="127601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6008920"/>
        <c:crosses val="autoZero"/>
        <c:auto val="1"/>
        <c:lblAlgn val="ctr"/>
        <c:lblOffset val="100"/>
        <c:noMultiLvlLbl val="0"/>
      </c:catAx>
      <c:valAx>
        <c:axId val="127600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601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23</xdr:row>
      <xdr:rowOff>80962</xdr:rowOff>
    </xdr:from>
    <xdr:to>
      <xdr:col>8</xdr:col>
      <xdr:colOff>2914650</xdr:colOff>
      <xdr:row>37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CD75B1-7B14-BCBC-3803-FD50E5926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157162</xdr:colOff>
      <xdr:row>38</xdr:row>
      <xdr:rowOff>33337</xdr:rowOff>
    </xdr:from>
    <xdr:to>
      <xdr:col>8</xdr:col>
      <xdr:colOff>3805237</xdr:colOff>
      <xdr:row>52</xdr:row>
      <xdr:rowOff>109537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4E76590-77B6-22B5-F107-61BE6BB53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185737</xdr:colOff>
      <xdr:row>8</xdr:row>
      <xdr:rowOff>119062</xdr:rowOff>
    </xdr:from>
    <xdr:to>
      <xdr:col>8</xdr:col>
      <xdr:colOff>3833812</xdr:colOff>
      <xdr:row>23</xdr:row>
      <xdr:rowOff>4762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694BFE-D480-D5B0-90A0-C9F6C1ACA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171450</xdr:colOff>
      <xdr:row>34</xdr:row>
      <xdr:rowOff>138111</xdr:rowOff>
    </xdr:from>
    <xdr:to>
      <xdr:col>6</xdr:col>
      <xdr:colOff>523875</xdr:colOff>
      <xdr:row>54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3952825-0D26-FD94-E976-3D0AC9E5D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3971925</xdr:colOff>
      <xdr:row>8</xdr:row>
      <xdr:rowOff>185737</xdr:rowOff>
    </xdr:from>
    <xdr:to>
      <xdr:col>9</xdr:col>
      <xdr:colOff>4038600</xdr:colOff>
      <xdr:row>23</xdr:row>
      <xdr:rowOff>71437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76F687E-FE2D-5037-5DD8-C6616B258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4210050</xdr:colOff>
      <xdr:row>9</xdr:row>
      <xdr:rowOff>4762</xdr:rowOff>
    </xdr:from>
    <xdr:to>
      <xdr:col>12</xdr:col>
      <xdr:colOff>2047875</xdr:colOff>
      <xdr:row>23</xdr:row>
      <xdr:rowOff>80962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7F0F1E6-917C-7DDF-863A-C745B0649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2181225</xdr:colOff>
      <xdr:row>8</xdr:row>
      <xdr:rowOff>166687</xdr:rowOff>
    </xdr:from>
    <xdr:to>
      <xdr:col>14</xdr:col>
      <xdr:colOff>704850</xdr:colOff>
      <xdr:row>23</xdr:row>
      <xdr:rowOff>52387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C647D86-6137-6BF8-C601-ADD99DBCA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3038475</xdr:colOff>
      <xdr:row>23</xdr:row>
      <xdr:rowOff>100012</xdr:rowOff>
    </xdr:from>
    <xdr:to>
      <xdr:col>9</xdr:col>
      <xdr:colOff>2657475</xdr:colOff>
      <xdr:row>37</xdr:row>
      <xdr:rowOff>176212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6D3F0BD-A7F5-29FF-66E2-BAB2C0B27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2771775</xdr:colOff>
      <xdr:row>23</xdr:row>
      <xdr:rowOff>119062</xdr:rowOff>
    </xdr:from>
    <xdr:to>
      <xdr:col>12</xdr:col>
      <xdr:colOff>47625</xdr:colOff>
      <xdr:row>38</xdr:row>
      <xdr:rowOff>4762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F000CA6-D0C1-0387-F367-893D73AE7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157163</xdr:colOff>
      <xdr:row>23</xdr:row>
      <xdr:rowOff>138112</xdr:rowOff>
    </xdr:from>
    <xdr:to>
      <xdr:col>12</xdr:col>
      <xdr:colOff>4095750</xdr:colOff>
      <xdr:row>38</xdr:row>
      <xdr:rowOff>23812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365951B-1700-0BE1-E03F-EB025E642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171450</xdr:colOff>
      <xdr:row>53</xdr:row>
      <xdr:rowOff>14287</xdr:rowOff>
    </xdr:from>
    <xdr:to>
      <xdr:col>8</xdr:col>
      <xdr:colOff>3819525</xdr:colOff>
      <xdr:row>67</xdr:row>
      <xdr:rowOff>90487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B170443-F43E-EA87-32FA-83A88CFD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3952875</xdr:colOff>
      <xdr:row>38</xdr:row>
      <xdr:rowOff>52387</xdr:rowOff>
    </xdr:from>
    <xdr:to>
      <xdr:col>9</xdr:col>
      <xdr:colOff>4019550</xdr:colOff>
      <xdr:row>52</xdr:row>
      <xdr:rowOff>128587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E603471E-5748-DE59-BD47-FE95205FD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4124325</xdr:colOff>
      <xdr:row>38</xdr:row>
      <xdr:rowOff>52387</xdr:rowOff>
    </xdr:from>
    <xdr:to>
      <xdr:col>12</xdr:col>
      <xdr:colOff>1962150</xdr:colOff>
      <xdr:row>52</xdr:row>
      <xdr:rowOff>128587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B3228F6-98E2-9E4B-16EF-EBB1E116B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2047875</xdr:colOff>
      <xdr:row>38</xdr:row>
      <xdr:rowOff>61912</xdr:rowOff>
    </xdr:from>
    <xdr:to>
      <xdr:col>14</xdr:col>
      <xdr:colOff>571500</xdr:colOff>
      <xdr:row>52</xdr:row>
      <xdr:rowOff>138112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41FACB5-4CFE-5F79-3F9A-5F0EC1B0A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92D6F2F-50AA-4BA1-B179-94B30DFAA8B7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profesion" tableColumnId="2"/>
      <queryTableField id="3" name="edad" tableColumnId="3"/>
      <queryTableField id="4" name="genero" tableColumnId="4"/>
      <queryTableField id="5" name="pericia_informatica" tableColumnId="5"/>
      <queryTableField id="6" name="dispositivo" tableColumnId="6"/>
      <queryTableField id="7" name="tiempo" tableColumnId="7"/>
      <queryTableField id="8" name="completada" tableColumnId="8"/>
      <queryTableField id="9" name="comentarios" tableColumnId="9"/>
      <queryTableField id="10" name="propuestas" tableColumnId="10"/>
      <queryTableField id="11" name="valoracion" tableColumnId="11"/>
      <queryTableField id="12" name="nota" tableColumnId="12"/>
      <queryTableField id="13" name="observacion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AE468-CC2F-4C25-B9FE-9116A5698C2B}" name="exportUsabilidad_20251221_125135" displayName="exportUsabilidad_20251221_125135" ref="A1:M8" tableType="queryTable" totalsRowShown="0">
  <autoFilter ref="A1:M8" xr:uid="{A0AAE468-CC2F-4C25-B9FE-9116A5698C2B}"/>
  <tableColumns count="13">
    <tableColumn id="1" xr3:uid="{D133F8CE-8D56-4ED8-9512-5E17F1DF1DA8}" uniqueName="1" name="id" queryTableFieldId="1"/>
    <tableColumn id="2" xr3:uid="{9C403DFD-FF6E-4120-90B5-4845F35AF5A0}" uniqueName="2" name="profesion" queryTableFieldId="2" dataDxfId="5"/>
    <tableColumn id="3" xr3:uid="{28154B90-A277-483B-B6A2-41B12AB159AE}" uniqueName="3" name="edad" queryTableFieldId="3"/>
    <tableColumn id="4" xr3:uid="{29E08467-33AF-412B-AB46-3EFB390651EF}" uniqueName="4" name="genero" queryTableFieldId="4" dataDxfId="4"/>
    <tableColumn id="5" xr3:uid="{B8BA434C-D67F-4D8C-9D27-B47A9957D4E8}" uniqueName="5" name="pericia_informatica" queryTableFieldId="5"/>
    <tableColumn id="6" xr3:uid="{651D4B3D-2297-4D58-B90B-C09304065D23}" uniqueName="6" name="dispositivo" queryTableFieldId="6" dataDxfId="3"/>
    <tableColumn id="7" xr3:uid="{6A5BFE22-815B-40C3-8F1E-A35F87D5D8A2}" uniqueName="7" name="tiempo" queryTableFieldId="7"/>
    <tableColumn id="8" xr3:uid="{0E892374-C85C-4573-AF90-15CCBF7B350A}" uniqueName="8" name="completada" queryTableFieldId="8"/>
    <tableColumn id="9" xr3:uid="{77DA9417-3D32-4BE0-94BF-D0C8EF43CFBE}" uniqueName="9" name="comentarios" queryTableFieldId="9" dataDxfId="2"/>
    <tableColumn id="10" xr3:uid="{495AF874-F88A-41C0-A64D-EAC62C5F501D}" uniqueName="10" name="propuestas" queryTableFieldId="10" dataDxfId="1"/>
    <tableColumn id="11" xr3:uid="{5BD9AB7D-5874-4452-84B3-B401B7D15FBE}" uniqueName="11" name="valoracion" queryTableFieldId="11"/>
    <tableColumn id="12" xr3:uid="{EBF69447-CB44-495C-82C8-F618B3B763A8}" uniqueName="12" name="nota" queryTableFieldId="12"/>
    <tableColumn id="13" xr3:uid="{DD88FE4C-4DA6-4DE4-9ECC-DE8BCCEF7D44}" uniqueName="13" name="observacion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083A-264E-4C50-A172-9F7DC88C5C59}">
  <dimension ref="A1:M34"/>
  <sheetViews>
    <sheetView tabSelected="1" workbookViewId="0">
      <selection activeCell="C10" sqref="C10"/>
    </sheetView>
  </sheetViews>
  <sheetFormatPr baseColWidth="10" defaultRowHeight="15" x14ac:dyDescent="0.25"/>
  <cols>
    <col min="1" max="1" width="5" bestFit="1" customWidth="1"/>
    <col min="2" max="2" width="19.85546875" customWidth="1"/>
    <col min="3" max="3" width="7.7109375" bestFit="1" customWidth="1"/>
    <col min="4" max="4" width="10.42578125" bestFit="1" customWidth="1"/>
    <col min="5" max="5" width="20.7109375" bestFit="1" customWidth="1"/>
    <col min="6" max="6" width="13.28515625" bestFit="1" customWidth="1"/>
    <col min="7" max="7" width="9.7109375" bestFit="1" customWidth="1"/>
    <col min="8" max="8" width="13.85546875" bestFit="1" customWidth="1"/>
    <col min="9" max="9" width="67.5703125" bestFit="1" customWidth="1"/>
    <col min="10" max="10" width="81.140625" bestFit="1" customWidth="1"/>
    <col min="11" max="11" width="12.5703125" bestFit="1" customWidth="1"/>
    <col min="12" max="12" width="7.28515625" bestFit="1" customWidth="1"/>
    <col min="13" max="13" width="7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22</v>
      </c>
      <c r="D2" t="s">
        <v>14</v>
      </c>
      <c r="E2">
        <v>10</v>
      </c>
      <c r="F2" t="s">
        <v>15</v>
      </c>
      <c r="G2">
        <v>175</v>
      </c>
      <c r="H2">
        <v>1</v>
      </c>
      <c r="I2" t="s">
        <v>16</v>
      </c>
      <c r="J2" t="s">
        <v>17</v>
      </c>
      <c r="K2">
        <v>7</v>
      </c>
      <c r="L2">
        <v>9</v>
      </c>
      <c r="M2" t="s">
        <v>18</v>
      </c>
    </row>
    <row r="3" spans="1:13" x14ac:dyDescent="0.25">
      <c r="A3">
        <v>2</v>
      </c>
      <c r="B3" t="s">
        <v>19</v>
      </c>
      <c r="C3">
        <v>62</v>
      </c>
      <c r="D3" t="s">
        <v>14</v>
      </c>
      <c r="E3">
        <v>3</v>
      </c>
      <c r="F3" t="s">
        <v>20</v>
      </c>
      <c r="G3">
        <v>524</v>
      </c>
      <c r="H3">
        <v>0</v>
      </c>
      <c r="I3" t="s">
        <v>21</v>
      </c>
      <c r="J3" t="s">
        <v>22</v>
      </c>
      <c r="K3">
        <v>7</v>
      </c>
      <c r="L3">
        <v>9</v>
      </c>
      <c r="M3" t="s">
        <v>23</v>
      </c>
    </row>
    <row r="4" spans="1:13" x14ac:dyDescent="0.25">
      <c r="A4">
        <v>3</v>
      </c>
      <c r="B4" t="s">
        <v>24</v>
      </c>
      <c r="C4">
        <v>44</v>
      </c>
      <c r="D4" t="s">
        <v>25</v>
      </c>
      <c r="E4">
        <v>7</v>
      </c>
      <c r="F4" t="s">
        <v>26</v>
      </c>
      <c r="G4">
        <v>180</v>
      </c>
      <c r="H4">
        <v>0</v>
      </c>
      <c r="I4" t="s">
        <v>27</v>
      </c>
      <c r="J4" t="s">
        <v>22</v>
      </c>
      <c r="K4">
        <v>5</v>
      </c>
      <c r="L4">
        <v>5</v>
      </c>
      <c r="M4" t="s">
        <v>28</v>
      </c>
    </row>
    <row r="5" spans="1:13" x14ac:dyDescent="0.25">
      <c r="A5">
        <v>4</v>
      </c>
      <c r="B5" t="s">
        <v>29</v>
      </c>
      <c r="C5">
        <v>73</v>
      </c>
      <c r="D5" t="s">
        <v>14</v>
      </c>
      <c r="E5">
        <v>1</v>
      </c>
      <c r="F5" t="s">
        <v>15</v>
      </c>
      <c r="G5">
        <v>737</v>
      </c>
      <c r="H5">
        <v>0</v>
      </c>
      <c r="I5" t="s">
        <v>30</v>
      </c>
      <c r="J5" t="s">
        <v>31</v>
      </c>
      <c r="K5">
        <v>8</v>
      </c>
      <c r="L5">
        <v>8</v>
      </c>
      <c r="M5" t="s">
        <v>32</v>
      </c>
    </row>
    <row r="6" spans="1:13" x14ac:dyDescent="0.25">
      <c r="A6">
        <v>5</v>
      </c>
      <c r="B6" t="s">
        <v>33</v>
      </c>
      <c r="C6">
        <v>27</v>
      </c>
      <c r="D6" t="s">
        <v>14</v>
      </c>
      <c r="E6">
        <v>8</v>
      </c>
      <c r="F6" t="s">
        <v>15</v>
      </c>
      <c r="G6">
        <v>153</v>
      </c>
      <c r="H6">
        <v>1</v>
      </c>
      <c r="I6" t="s">
        <v>22</v>
      </c>
      <c r="J6" t="s">
        <v>22</v>
      </c>
      <c r="K6">
        <v>10</v>
      </c>
      <c r="L6">
        <v>10</v>
      </c>
      <c r="M6" t="s">
        <v>22</v>
      </c>
    </row>
    <row r="7" spans="1:13" x14ac:dyDescent="0.25">
      <c r="A7">
        <v>6</v>
      </c>
      <c r="B7" t="s">
        <v>34</v>
      </c>
      <c r="C7">
        <v>63</v>
      </c>
      <c r="D7" t="s">
        <v>14</v>
      </c>
      <c r="E7">
        <v>5</v>
      </c>
      <c r="F7" t="s">
        <v>26</v>
      </c>
      <c r="G7">
        <v>204</v>
      </c>
      <c r="H7">
        <v>1</v>
      </c>
      <c r="I7" t="s">
        <v>22</v>
      </c>
      <c r="J7" t="s">
        <v>22</v>
      </c>
      <c r="K7">
        <v>10</v>
      </c>
      <c r="L7">
        <v>10</v>
      </c>
      <c r="M7" t="s">
        <v>22</v>
      </c>
    </row>
    <row r="8" spans="1:13" x14ac:dyDescent="0.25">
      <c r="A8">
        <v>7</v>
      </c>
      <c r="B8" t="s">
        <v>35</v>
      </c>
      <c r="C8">
        <v>52</v>
      </c>
      <c r="D8" t="s">
        <v>25</v>
      </c>
      <c r="E8">
        <v>6</v>
      </c>
      <c r="F8" t="s">
        <v>20</v>
      </c>
      <c r="G8">
        <v>157</v>
      </c>
      <c r="H8">
        <v>1</v>
      </c>
      <c r="I8" t="s">
        <v>22</v>
      </c>
      <c r="J8" t="s">
        <v>36</v>
      </c>
      <c r="K8">
        <v>9</v>
      </c>
      <c r="L8">
        <v>10</v>
      </c>
      <c r="M8" t="s">
        <v>22</v>
      </c>
    </row>
    <row r="10" spans="1:13" x14ac:dyDescent="0.25">
      <c r="D10" t="s">
        <v>55</v>
      </c>
      <c r="E10" s="2" t="s">
        <v>56</v>
      </c>
      <c r="F10" s="2" t="s">
        <v>57</v>
      </c>
      <c r="G10" s="2" t="s">
        <v>58</v>
      </c>
    </row>
    <row r="11" spans="1:13" x14ac:dyDescent="0.25">
      <c r="B11" t="s">
        <v>37</v>
      </c>
      <c r="D11">
        <f>AVERAGE(exportUsabilidad_20251221_125135[edad])</f>
        <v>49</v>
      </c>
      <c r="E11">
        <f>AVERAGE(C2)</f>
        <v>22</v>
      </c>
      <c r="F11" s="1">
        <f>AVERAGE(C3:C5)</f>
        <v>59.666666666666664</v>
      </c>
      <c r="G11" s="1">
        <f>AVERAGE(C6:C8)</f>
        <v>47.333333333333336</v>
      </c>
    </row>
    <row r="13" spans="1:13" x14ac:dyDescent="0.25">
      <c r="B13" t="s">
        <v>40</v>
      </c>
    </row>
    <row r="14" spans="1:13" x14ac:dyDescent="0.25">
      <c r="C14" s="2" t="s">
        <v>41</v>
      </c>
      <c r="D14" s="5">
        <f>COUNTIFS(exportUsabilidad_20251221_125135[edad],"&gt;=0",exportUsabilidad_20251221_125135[edad],"&lt;20")/COUNTA(exportUsabilidad_20251221_125135[edad])</f>
        <v>0</v>
      </c>
      <c r="E14" s="5">
        <f>COUNTIFS(C2,"&gt;=0",C2,"&lt;20")/COUNTA(C2)</f>
        <v>0</v>
      </c>
      <c r="F14" s="5">
        <f>COUNTIFS(C3:C5,"&gt;=0",C3:C5,"&lt;20")/COUNTA(C3:C5)</f>
        <v>0</v>
      </c>
      <c r="G14" s="5">
        <f>COUNTIFS(C6:C8,"&gt;=0",C6:C8,"&lt;20")/COUNTA(C6:C8)</f>
        <v>0</v>
      </c>
    </row>
    <row r="15" spans="1:13" x14ac:dyDescent="0.25">
      <c r="C15" s="2" t="s">
        <v>42</v>
      </c>
      <c r="D15" s="5">
        <f>COUNTIFS(exportUsabilidad_20251221_125135[edad],"&gt;=20",exportUsabilidad_20251221_125135[edad],"&lt;30")/COUNTA(exportUsabilidad_20251221_125135[edad])</f>
        <v>0.2857142857142857</v>
      </c>
      <c r="E15" s="5">
        <f>COUNTIFS(C2,"&gt;=20",C2,"&lt;30")/COUNTA(C2)</f>
        <v>1</v>
      </c>
      <c r="F15" s="5">
        <f>COUNTIFS(C3:C5,"&gt;=20",C3:C5,"&lt;30")/COUNTA(C3:C5)</f>
        <v>0</v>
      </c>
      <c r="G15" s="5">
        <f>COUNTIFS(C6:C8,"&gt;=20",C6:C8,"&lt;30")/COUNTA(C6:C8)</f>
        <v>0.33333333333333331</v>
      </c>
    </row>
    <row r="16" spans="1:13" x14ac:dyDescent="0.25">
      <c r="C16" s="2" t="s">
        <v>43</v>
      </c>
      <c r="D16" s="5">
        <f>COUNTIFS(exportUsabilidad_20251221_125135[edad],"&gt;=30",exportUsabilidad_20251221_125135[edad],"&lt;40")/COUNTA(exportUsabilidad_20251221_125135[edad])</f>
        <v>0</v>
      </c>
      <c r="E16" s="5">
        <f>COUNTIFS(C2,"&gt;=30",C2,"&lt;40")/COUNTA(C2)</f>
        <v>0</v>
      </c>
      <c r="F16" s="5">
        <f>COUNTIFS(C3:C5,"&gt;=30",C3:C5,"&lt;40")/COUNTA(C3:C5)</f>
        <v>0</v>
      </c>
      <c r="G16" s="5">
        <f>COUNTIFS(C6:C8,"&gt;=30",C6:C8,"&lt;40")/COUNTA(C6:C8)</f>
        <v>0</v>
      </c>
    </row>
    <row r="17" spans="2:7" x14ac:dyDescent="0.25">
      <c r="C17" s="2" t="s">
        <v>44</v>
      </c>
      <c r="D17" s="5">
        <f>COUNTIFS(exportUsabilidad_20251221_125135[edad],"&gt;=40",exportUsabilidad_20251221_125135[edad],"&lt;65")/COUNTA(exportUsabilidad_20251221_125135[edad])</f>
        <v>0.5714285714285714</v>
      </c>
      <c r="E17" s="5">
        <f>COUNTIFS(C2,"&gt;=40",C2,"&lt;65")/COUNTA(C2)</f>
        <v>0</v>
      </c>
      <c r="F17" s="5">
        <f>COUNTIFS(C3:C5,"&gt;=40",C3:C5,"&lt;65")/COUNTA(C3:C5)</f>
        <v>0.66666666666666663</v>
      </c>
      <c r="G17" s="5">
        <f>COUNTIFS(C6:C8,"&gt;=40",C6:C8,"&lt;65")/COUNTA(C6:C8)</f>
        <v>0.66666666666666663</v>
      </c>
    </row>
    <row r="18" spans="2:7" x14ac:dyDescent="0.25">
      <c r="C18" s="2" t="s">
        <v>45</v>
      </c>
      <c r="D18" s="5">
        <f>COUNTIFS(exportUsabilidad_20251221_125135[edad],"&gt;=65",exportUsabilidad_20251221_125135[edad],"&lt;120")/COUNTA(exportUsabilidad_20251221_125135[edad])</f>
        <v>0.14285714285714285</v>
      </c>
      <c r="E18" s="5">
        <f>COUNTIFS(C2,"&gt;=65",C2,"&lt;120")/COUNTA(C2)</f>
        <v>0</v>
      </c>
      <c r="F18" s="5">
        <f>COUNTIFS(C3:C5,"&gt;=65",C3:C5,"&lt;120")/COUNTA(C3:C5)</f>
        <v>0.33333333333333331</v>
      </c>
      <c r="G18" s="5">
        <f>COUNTIFS(C6:C8,"&gt;=65",C6:C8,"&lt;120")/COUNTA(C6:C8)</f>
        <v>0</v>
      </c>
    </row>
    <row r="19" spans="2:7" x14ac:dyDescent="0.25">
      <c r="D19" s="5"/>
    </row>
    <row r="20" spans="2:7" x14ac:dyDescent="0.25">
      <c r="B20" t="s">
        <v>46</v>
      </c>
      <c r="D20" s="5"/>
    </row>
    <row r="21" spans="2:7" x14ac:dyDescent="0.25">
      <c r="C21" s="2" t="s">
        <v>47</v>
      </c>
      <c r="D21" s="5">
        <f>COUNTIF(exportUsabilidad_20251221_125135[genero],"masculino")/COUNTA(exportUsabilidad_20251221_125135[genero])</f>
        <v>0.7142857142857143</v>
      </c>
      <c r="E21" s="5">
        <f>COUNTIF(D2,"masculino")/COUNTA(D2)</f>
        <v>1</v>
      </c>
      <c r="F21" s="5">
        <f>COUNTIF(D3:D5,"masculino")/COUNTA(D3:D5)</f>
        <v>0.66666666666666663</v>
      </c>
      <c r="G21" s="5">
        <f>COUNTIF(D6:D8,"masculino")/COUNTA(D6:D8)</f>
        <v>0.66666666666666663</v>
      </c>
    </row>
    <row r="22" spans="2:7" x14ac:dyDescent="0.25">
      <c r="C22" s="2" t="s">
        <v>48</v>
      </c>
      <c r="D22" s="5">
        <f>COUNTIF(exportUsabilidad_20251221_125135[genero],"femenino")/COUNTA(exportUsabilidad_20251221_125135[genero])</f>
        <v>0.2857142857142857</v>
      </c>
      <c r="E22" s="5">
        <f>COUNTIF(D2,"femenino")/COUNTA(D2)</f>
        <v>0</v>
      </c>
      <c r="F22" s="5">
        <f>COUNTIF(D3:D5,"femenino")/COUNTA(D3:D5)</f>
        <v>0.33333333333333331</v>
      </c>
      <c r="G22" s="5">
        <f>COUNTIF(D6:D8,"femenino")/COUNTA(D6:D8)</f>
        <v>0.33333333333333331</v>
      </c>
    </row>
    <row r="23" spans="2:7" x14ac:dyDescent="0.25">
      <c r="D23" s="5"/>
    </row>
    <row r="24" spans="2:7" x14ac:dyDescent="0.25">
      <c r="B24" t="s">
        <v>49</v>
      </c>
      <c r="D24" s="5"/>
    </row>
    <row r="25" spans="2:7" x14ac:dyDescent="0.25">
      <c r="C25" s="2" t="s">
        <v>50</v>
      </c>
      <c r="D25" s="5">
        <f>COUNTIFS(exportUsabilidad_20251221_125135[pericia_informatica],"&gt;=0",exportUsabilidad_20251221_125135[pericia_informatica],"&lt;3")/COUNTA(exportUsabilidad_20251221_125135[pericia_informatica])</f>
        <v>0.14285714285714285</v>
      </c>
      <c r="E25" s="5">
        <f>COUNTIFS(E2,"&gt;=0",E2,"&lt;3")/COUNTA(E2)</f>
        <v>0</v>
      </c>
      <c r="F25" s="5">
        <f>COUNTIFS(E3:E5,"&gt;=0",E3:E5,"&lt;3")/COUNTA(E3:E5)</f>
        <v>0.33333333333333331</v>
      </c>
      <c r="G25" s="5">
        <f>COUNTIFS(E6:E8,"&gt;=0",E6:E8,"&lt;3")/COUNTA(E6:E8)</f>
        <v>0</v>
      </c>
    </row>
    <row r="26" spans="2:7" x14ac:dyDescent="0.25">
      <c r="C26" s="3" t="s">
        <v>53</v>
      </c>
      <c r="D26" s="5">
        <f>COUNTIFS(exportUsabilidad_20251221_125135[pericia_informatica],"&gt;=3",exportUsabilidad_20251221_125135[pericia_informatica],"&lt;5")/COUNTA(exportUsabilidad_20251221_125135[pericia_informatica])</f>
        <v>0.14285714285714285</v>
      </c>
      <c r="E26" s="5">
        <f>COUNTIFS(E2,"&gt;=3",E2,"&lt;5")/COUNTA(E2)</f>
        <v>0</v>
      </c>
      <c r="F26" s="5">
        <f>COUNTIFS(E3:E5,"&gt;=3",E3:E5,"&lt;5")/COUNTA(E3:E5)</f>
        <v>0.33333333333333331</v>
      </c>
      <c r="G26" s="5">
        <f>COUNTIFS(E6:E8,"&gt;=3",E6:E8,"&lt;5")/COUNTA(E6:E8)</f>
        <v>0</v>
      </c>
    </row>
    <row r="27" spans="2:7" x14ac:dyDescent="0.25">
      <c r="C27" s="3" t="s">
        <v>51</v>
      </c>
      <c r="D27" s="5">
        <f>COUNTIFS(exportUsabilidad_20251221_125135[pericia_informatica],"&gt;=5",exportUsabilidad_20251221_125135[pericia_informatica],"&lt;7")/COUNTA(exportUsabilidad_20251221_125135[pericia_informatica])</f>
        <v>0.2857142857142857</v>
      </c>
      <c r="E27" s="5">
        <f>COUNTIFS(E2,"&gt;=5",E2,"&lt;7")/COUNTA(E2)</f>
        <v>0</v>
      </c>
      <c r="F27" s="5">
        <f>COUNTIFS(E3:E5,"&gt;=5",E3:E5,"&lt;7")/COUNTA(E3:E5)</f>
        <v>0</v>
      </c>
      <c r="G27" s="5">
        <f>COUNTIFS(E6:E8,"&gt;=5",E6:E8,"&lt;7")/COUNTA(E6:E8)</f>
        <v>0.66666666666666663</v>
      </c>
    </row>
    <row r="28" spans="2:7" x14ac:dyDescent="0.25">
      <c r="C28" s="3" t="s">
        <v>52</v>
      </c>
      <c r="D28" s="5">
        <f>COUNTIFS(exportUsabilidad_20251221_125135[pericia_informatica],"&gt;=7",exportUsabilidad_20251221_125135[pericia_informatica],"&lt;=10")/COUNTA(exportUsabilidad_20251221_125135[pericia_informatica])</f>
        <v>0.42857142857142855</v>
      </c>
      <c r="E28" s="5">
        <f>COUNTIFS(E2,"&gt;=7",E2,"&lt;=10")/COUNTA(E2)</f>
        <v>1</v>
      </c>
      <c r="F28" s="5">
        <f>COUNTIFS(E3:E5,"&gt;=7",E3:E5,"&lt;=10")/COUNTA(E3:E5)</f>
        <v>0.33333333333333331</v>
      </c>
      <c r="G28" s="5">
        <f>COUNTIFS(E6:E8,"&gt;=7",E6:E8,"&lt;=10")/COUNTA(E6:E8)</f>
        <v>0.33333333333333331</v>
      </c>
    </row>
    <row r="29" spans="2:7" x14ac:dyDescent="0.25">
      <c r="D29" s="1"/>
    </row>
    <row r="30" spans="2:7" x14ac:dyDescent="0.25">
      <c r="B30" t="s">
        <v>38</v>
      </c>
      <c r="D30" s="1">
        <f>AVERAGE(exportUsabilidad_20251221_125135[tiempo])</f>
        <v>304.28571428571428</v>
      </c>
      <c r="E30">
        <f>G2</f>
        <v>175</v>
      </c>
      <c r="F30" s="1">
        <f>AVERAGE(G3:G5)</f>
        <v>480.33333333333331</v>
      </c>
      <c r="G30" s="1">
        <f>AVERAGE(G6:G8)</f>
        <v>171.33333333333334</v>
      </c>
    </row>
    <row r="32" spans="2:7" x14ac:dyDescent="0.25">
      <c r="B32" t="s">
        <v>54</v>
      </c>
      <c r="D32" s="4">
        <f>COUNTIF(exportUsabilidad_20251221_125135[completada],1)/COUNTA(exportUsabilidad_20251221_125135[completada])</f>
        <v>0.5714285714285714</v>
      </c>
      <c r="E32" s="4">
        <f>COUNTIF(H2,1)/COUNTA(H2)</f>
        <v>1</v>
      </c>
      <c r="F32" s="4">
        <f>COUNTIF(H3:H5,1)/COUNTA(H3:H5)</f>
        <v>0</v>
      </c>
      <c r="G32" s="4">
        <f>COUNTIF(H6:H8,1)/COUNTA(H6:H8)</f>
        <v>1</v>
      </c>
    </row>
    <row r="34" spans="2:7" x14ac:dyDescent="0.25">
      <c r="B34" t="s">
        <v>39</v>
      </c>
      <c r="D34">
        <f>AVERAGE(exportUsabilidad_20251221_125135[valoracion])</f>
        <v>8</v>
      </c>
      <c r="E34">
        <f>AVERAGE(K2)</f>
        <v>7</v>
      </c>
      <c r="F34" s="1">
        <f>AVERAGE(K3:K5)</f>
        <v>6.666666666666667</v>
      </c>
      <c r="G34" s="1">
        <f>AVERAGE(K6:K8)</f>
        <v>9.6666666666666661</v>
      </c>
    </row>
  </sheetData>
  <phoneticPr fontId="2" type="noConversion"/>
  <pageMargins left="0.7" right="0.7" top="0.75" bottom="0.75" header="0.3" footer="0.3"/>
  <ignoredErrors>
    <ignoredError sqref="E14 E21:E22 F27:F28 F11 E32" formula="1"/>
  </ignoredErrors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7ABDF9-9F3E-46B2-9BC3-D20A77AFA1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exportUsabilidad_20251221_12513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García Martínez</dc:creator>
  <cp:lastModifiedBy>Gabriel García Martínez</cp:lastModifiedBy>
  <dcterms:created xsi:type="dcterms:W3CDTF">2025-12-21T11:52:41Z</dcterms:created>
  <dcterms:modified xsi:type="dcterms:W3CDTF">2025-12-21T13:48:57Z</dcterms:modified>
</cp:coreProperties>
</file>